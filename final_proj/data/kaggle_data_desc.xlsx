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dollison/code/MSAIB/CIS508/final_proj/data/"/>
    </mc:Choice>
  </mc:AlternateContent>
  <xr:revisionPtr revIDLastSave="0" documentId="13_ncr:1_{4ECCF4F3-2432-2843-B55A-4E84E67F2308}" xr6:coauthVersionLast="47" xr6:coauthVersionMax="47" xr10:uidLastSave="{00000000-0000-0000-0000-000000000000}"/>
  <bookViews>
    <workbookView xWindow="4440" yWindow="2240" windowWidth="24960" windowHeight="15760" activeTab="1" xr2:uid="{E0D17C7C-0BF3-F14C-8A29-30671899D3AF}"/>
  </bookViews>
  <sheets>
    <sheet name="info" sheetId="2" r:id="rId1"/>
    <sheet name="horses" sheetId="1" r:id="rId2"/>
    <sheet name="races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4" l="1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2" i="1"/>
</calcChain>
</file>

<file path=xl/sharedStrings.xml><?xml version="1.0" encoding="utf-8"?>
<sst xmlns="http://schemas.openxmlformats.org/spreadsheetml/2006/main" count="207" uniqueCount="124">
  <si>
    <t>Race id</t>
  </si>
  <si>
    <t>Horse name</t>
  </si>
  <si>
    <t>Horse age</t>
  </si>
  <si>
    <t>Saddle # where horse starts</t>
  </si>
  <si>
    <t>1/Decimal price</t>
  </si>
  <si>
    <t>Was horse favorite before start? Can be more then one fav in a race</t>
  </si>
  <si>
    <t>Trainer name</t>
  </si>
  <si>
    <t>Jockey name</t>
  </si>
  <si>
    <t>Finishing position, 40 if horse didn't finish</t>
  </si>
  <si>
    <t>how far a horse has finished from the pursued horse, horses corpses</t>
  </si>
  <si>
    <t>how far a horse has finished from a winner, horses corpses</t>
  </si>
  <si>
    <t>Horse weight in St</t>
  </si>
  <si>
    <t>Horse weight in Lb</t>
  </si>
  <si>
    <t>Overweight code</t>
  </si>
  <si>
    <t>Handicap</t>
  </si>
  <si>
    <t>Head gear code</t>
  </si>
  <si>
    <t>RP Rating</t>
  </si>
  <si>
    <t>Topspeed</t>
  </si>
  <si>
    <t>Official Rating</t>
  </si>
  <si>
    <t>Horse's Father name</t>
  </si>
  <si>
    <t>Horse's Mother name</t>
  </si>
  <si>
    <t>Horse's Grandfather name</t>
  </si>
  <si>
    <t>Runners total</t>
  </si>
  <si>
    <t>Sum of decimalPrices for the race</t>
  </si>
  <si>
    <t>Horse weight in kg</t>
  </si>
  <si>
    <t>Horse won or not</t>
  </si>
  <si>
    <t>Horse placed or not</t>
  </si>
  <si>
    <t/>
  </si>
  <si>
    <t>old</t>
  </si>
  <si>
    <t>new</t>
  </si>
  <si>
    <t>desc</t>
  </si>
  <si>
    <t>url:</t>
  </si>
  <si>
    <t>https://www.kaggle.com/datasets/hwaitt/horse-racing/data</t>
  </si>
  <si>
    <t>race_id</t>
  </si>
  <si>
    <t>horse_name</t>
  </si>
  <si>
    <t>decimal_price</t>
  </si>
  <si>
    <t>trainer_name</t>
  </si>
  <si>
    <t>jockey_name</t>
  </si>
  <si>
    <t>rid</t>
  </si>
  <si>
    <t>horseName</t>
  </si>
  <si>
    <t>decimalPrice</t>
  </si>
  <si>
    <t>trainerName</t>
  </si>
  <si>
    <t>jockeyName</t>
  </si>
  <si>
    <t>position</t>
  </si>
  <si>
    <t>dist</t>
  </si>
  <si>
    <t>weightSt</t>
  </si>
  <si>
    <t>weightLb</t>
  </si>
  <si>
    <t>overWeight</t>
  </si>
  <si>
    <t>outHandicap</t>
  </si>
  <si>
    <t>headGear</t>
  </si>
  <si>
    <t>runners</t>
  </si>
  <si>
    <t>weight</t>
  </si>
  <si>
    <t>res_win</t>
  </si>
  <si>
    <t>res_place</t>
  </si>
  <si>
    <t>RPR</t>
  </si>
  <si>
    <t>TR</t>
  </si>
  <si>
    <t>OR</t>
  </si>
  <si>
    <t>finish_position</t>
  </si>
  <si>
    <t>distance_behind</t>
  </si>
  <si>
    <t>weight_st</t>
  </si>
  <si>
    <t>weight_lb</t>
  </si>
  <si>
    <t>over_weight</t>
  </si>
  <si>
    <t>out_handicap</t>
  </si>
  <si>
    <t>headgear</t>
  </si>
  <si>
    <t>race_runners</t>
  </si>
  <si>
    <t>official_weight</t>
  </si>
  <si>
    <t>result_win</t>
  </si>
  <si>
    <t>result_place</t>
  </si>
  <si>
    <t>rpr_rating</t>
  </si>
  <si>
    <t>tr_rating</t>
  </si>
  <si>
    <t>or_rating</t>
  </si>
  <si>
    <t>age</t>
  </si>
  <si>
    <t>saddle</t>
  </si>
  <si>
    <t>isFav</t>
  </si>
  <si>
    <t>positionL</t>
  </si>
  <si>
    <t>father</t>
  </si>
  <si>
    <t>mother</t>
  </si>
  <si>
    <t>gfather</t>
  </si>
  <si>
    <t>margin</t>
  </si>
  <si>
    <t>course</t>
  </si>
  <si>
    <t>Course of the race, country code in brackets, AW means All Weather, no brackets means UK</t>
  </si>
  <si>
    <t>time</t>
  </si>
  <si>
    <t>Time of the race in hh:mm format, London TZ</t>
  </si>
  <si>
    <t>date</t>
  </si>
  <si>
    <t>Date of the race</t>
  </si>
  <si>
    <t>title</t>
  </si>
  <si>
    <t>Title of the race</t>
  </si>
  <si>
    <t>rclass</t>
  </si>
  <si>
    <t>Race class</t>
  </si>
  <si>
    <t>band</t>
  </si>
  <si>
    <t>Band</t>
  </si>
  <si>
    <t>ages</t>
  </si>
  <si>
    <t>Ages allowed</t>
  </si>
  <si>
    <t>distance</t>
  </si>
  <si>
    <t>Distance</t>
  </si>
  <si>
    <t>condition</t>
  </si>
  <si>
    <t>Surface condition</t>
  </si>
  <si>
    <t>hurdles</t>
  </si>
  <si>
    <t>Hurdles, their type and amount</t>
  </si>
  <si>
    <t>prizes</t>
  </si>
  <si>
    <t>Places prizes</t>
  </si>
  <si>
    <t>winningTime</t>
  </si>
  <si>
    <t>Best time shown</t>
  </si>
  <si>
    <t>prize</t>
  </si>
  <si>
    <t>Prizes total (sum of prizes column)</t>
  </si>
  <si>
    <t>metric</t>
  </si>
  <si>
    <t>Distance in meters</t>
  </si>
  <si>
    <t>countryCode</t>
  </si>
  <si>
    <t>Country of the race</t>
  </si>
  <si>
    <t>ncond</t>
  </si>
  <si>
    <t>condition type (created from condition feature)</t>
  </si>
  <si>
    <t>class</t>
  </si>
  <si>
    <t>class type (created from rclass feature)</t>
  </si>
  <si>
    <t>race_time</t>
  </si>
  <si>
    <t>race_date</t>
  </si>
  <si>
    <t>race_distance</t>
  </si>
  <si>
    <t>going</t>
  </si>
  <si>
    <t>prize_breakdown</t>
  </si>
  <si>
    <t>winning_time</t>
  </si>
  <si>
    <t>prize_total</t>
  </si>
  <si>
    <t>country_code</t>
  </si>
  <si>
    <t>race_class</t>
  </si>
  <si>
    <t>dropped</t>
  </si>
  <si>
    <t>engineered back: implied_prob (orig data), decimal_odds (orig intent), z_implied_prob, rank_implied_prob, is_favorite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</si>
</sst>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hwaitt/horse-racing/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5086F-9403-D945-A230-F06587ED1DCB}">
  <dimension ref="A1:B1"/>
  <sheetViews>
    <sheetView workbookViewId="0">
      <selection activeCell="A3" sqref="A3"/>
    </sheetView>
  </sheetViews>
  <sheetFormatPr baseColWidth="10" defaultRowHeight="16" x14ac:dyDescent="0.2"/>
  <cols>
    <col min="2" max="2" width="50.5" bestFit="1" customWidth="1"/>
  </cols>
  <sheetData>
    <row r="1" spans="1:2" x14ac:dyDescent="0.2">
      <c r="A1" t="s">
        <v>31</v>
      </c>
      <c r="B1" s="1" t="s">
        <v>32</v>
      </c>
    </row>
  </sheetData>
  <hyperlinks>
    <hyperlink ref="B1" r:id="rId1" xr:uid="{F29B4619-19EA-DB42-94EC-EF3E173D58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4290-D3DE-4342-A512-74666697EFE5}">
  <dimension ref="A1:H29"/>
  <sheetViews>
    <sheetView tabSelected="1" workbookViewId="0">
      <selection activeCell="B8" sqref="B8"/>
    </sheetView>
  </sheetViews>
  <sheetFormatPr baseColWidth="10" defaultRowHeight="16" x14ac:dyDescent="0.2"/>
  <cols>
    <col min="1" max="1" width="11.83203125" bestFit="1" customWidth="1"/>
    <col min="2" max="2" width="14.5" bestFit="1" customWidth="1"/>
    <col min="3" max="3" width="55.83203125" bestFit="1" customWidth="1"/>
    <col min="4" max="4" width="55.83203125" customWidth="1"/>
    <col min="5" max="5" width="11.83203125" bestFit="1" customWidth="1"/>
    <col min="6" max="6" width="14.5" bestFit="1" customWidth="1"/>
    <col min="7" max="7" width="7.1640625" bestFit="1" customWidth="1"/>
    <col min="8" max="8" width="14.5" bestFit="1" customWidth="1"/>
  </cols>
  <sheetData>
    <row r="1" spans="1:8" s="2" customFormat="1" x14ac:dyDescent="0.2">
      <c r="A1" s="2" t="s">
        <v>28</v>
      </c>
      <c r="B1" s="2" t="s">
        <v>29</v>
      </c>
      <c r="C1" s="2" t="s">
        <v>30</v>
      </c>
    </row>
    <row r="2" spans="1:8" x14ac:dyDescent="0.2">
      <c r="A2" t="s">
        <v>38</v>
      </c>
      <c r="B2" t="s">
        <v>33</v>
      </c>
      <c r="C2" t="s">
        <v>0</v>
      </c>
      <c r="E2" t="s">
        <v>38</v>
      </c>
      <c r="F2" t="s">
        <v>33</v>
      </c>
      <c r="G2" t="str">
        <f>IF(E2=A2, F2, A2)</f>
        <v>race_id</v>
      </c>
      <c r="H2" t="str">
        <f>_xlfn.XLOOKUP(A2, E:E, F:F, A2)</f>
        <v>race_id</v>
      </c>
    </row>
    <row r="3" spans="1:8" x14ac:dyDescent="0.2">
      <c r="A3" t="s">
        <v>39</v>
      </c>
      <c r="B3" t="s">
        <v>34</v>
      </c>
      <c r="C3" t="s">
        <v>1</v>
      </c>
      <c r="E3" t="s">
        <v>39</v>
      </c>
      <c r="F3" t="s">
        <v>34</v>
      </c>
      <c r="H3" t="str">
        <f t="shared" ref="H3:H28" si="0">_xlfn.XLOOKUP(A3, E:E, F:F, A3)</f>
        <v>horse_name</v>
      </c>
    </row>
    <row r="4" spans="1:8" x14ac:dyDescent="0.2">
      <c r="A4" t="s">
        <v>71</v>
      </c>
      <c r="B4" t="s">
        <v>71</v>
      </c>
      <c r="C4" t="s">
        <v>2</v>
      </c>
      <c r="E4" t="s">
        <v>40</v>
      </c>
      <c r="F4" t="s">
        <v>35</v>
      </c>
      <c r="H4" t="str">
        <f t="shared" si="0"/>
        <v>age</v>
      </c>
    </row>
    <row r="5" spans="1:8" x14ac:dyDescent="0.2">
      <c r="A5" t="s">
        <v>72</v>
      </c>
      <c r="B5" t="s">
        <v>72</v>
      </c>
      <c r="C5" t="s">
        <v>3</v>
      </c>
      <c r="D5" t="s">
        <v>122</v>
      </c>
      <c r="E5" t="s">
        <v>41</v>
      </c>
      <c r="F5" t="s">
        <v>36</v>
      </c>
      <c r="H5" t="str">
        <f t="shared" si="0"/>
        <v>saddle</v>
      </c>
    </row>
    <row r="6" spans="1:8" x14ac:dyDescent="0.2">
      <c r="A6" t="s">
        <v>40</v>
      </c>
      <c r="B6" t="s">
        <v>35</v>
      </c>
      <c r="C6" t="s">
        <v>4</v>
      </c>
      <c r="D6" t="s">
        <v>123</v>
      </c>
      <c r="E6" t="s">
        <v>42</v>
      </c>
      <c r="F6" t="s">
        <v>37</v>
      </c>
      <c r="H6" t="str">
        <f t="shared" si="0"/>
        <v>decimal_price</v>
      </c>
    </row>
    <row r="7" spans="1:8" x14ac:dyDescent="0.2">
      <c r="A7" t="s">
        <v>73</v>
      </c>
      <c r="B7" t="s">
        <v>73</v>
      </c>
      <c r="C7" t="s">
        <v>5</v>
      </c>
      <c r="E7" t="s">
        <v>43</v>
      </c>
      <c r="F7" t="s">
        <v>57</v>
      </c>
      <c r="H7" t="str">
        <f t="shared" si="0"/>
        <v>isFav</v>
      </c>
    </row>
    <row r="8" spans="1:8" x14ac:dyDescent="0.2">
      <c r="A8" t="s">
        <v>41</v>
      </c>
      <c r="B8" t="s">
        <v>36</v>
      </c>
      <c r="C8" t="s">
        <v>6</v>
      </c>
      <c r="E8" t="s">
        <v>44</v>
      </c>
      <c r="F8" t="s">
        <v>58</v>
      </c>
      <c r="H8" t="str">
        <f t="shared" si="0"/>
        <v>trainer_name</v>
      </c>
    </row>
    <row r="9" spans="1:8" x14ac:dyDescent="0.2">
      <c r="A9" t="s">
        <v>42</v>
      </c>
      <c r="B9" t="s">
        <v>37</v>
      </c>
      <c r="C9" t="s">
        <v>7</v>
      </c>
      <c r="E9" t="s">
        <v>45</v>
      </c>
      <c r="F9" t="s">
        <v>59</v>
      </c>
      <c r="H9" t="str">
        <f t="shared" si="0"/>
        <v>jockey_name</v>
      </c>
    </row>
    <row r="10" spans="1:8" x14ac:dyDescent="0.2">
      <c r="A10" t="s">
        <v>43</v>
      </c>
      <c r="B10" t="s">
        <v>57</v>
      </c>
      <c r="C10" t="s">
        <v>8</v>
      </c>
      <c r="E10" t="s">
        <v>46</v>
      </c>
      <c r="F10" t="s">
        <v>60</v>
      </c>
      <c r="H10" t="str">
        <f t="shared" si="0"/>
        <v>finish_position</v>
      </c>
    </row>
    <row r="11" spans="1:8" x14ac:dyDescent="0.2">
      <c r="A11" t="s">
        <v>74</v>
      </c>
      <c r="B11" t="s">
        <v>74</v>
      </c>
      <c r="C11" t="s">
        <v>9</v>
      </c>
      <c r="E11" t="s">
        <v>47</v>
      </c>
      <c r="F11" t="s">
        <v>61</v>
      </c>
      <c r="H11" t="str">
        <f t="shared" si="0"/>
        <v>positionL</v>
      </c>
    </row>
    <row r="12" spans="1:8" x14ac:dyDescent="0.2">
      <c r="A12" t="s">
        <v>44</v>
      </c>
      <c r="B12" t="s">
        <v>58</v>
      </c>
      <c r="C12" t="s">
        <v>10</v>
      </c>
      <c r="E12" t="s">
        <v>48</v>
      </c>
      <c r="F12" t="s">
        <v>62</v>
      </c>
      <c r="H12" t="str">
        <f t="shared" si="0"/>
        <v>distance_behind</v>
      </c>
    </row>
    <row r="13" spans="1:8" x14ac:dyDescent="0.2">
      <c r="A13" t="s">
        <v>45</v>
      </c>
      <c r="B13" t="s">
        <v>59</v>
      </c>
      <c r="C13" t="s">
        <v>11</v>
      </c>
      <c r="E13" t="s">
        <v>49</v>
      </c>
      <c r="F13" t="s">
        <v>63</v>
      </c>
      <c r="H13" t="str">
        <f t="shared" si="0"/>
        <v>weight_st</v>
      </c>
    </row>
    <row r="14" spans="1:8" x14ac:dyDescent="0.2">
      <c r="A14" t="s">
        <v>46</v>
      </c>
      <c r="B14" t="s">
        <v>60</v>
      </c>
      <c r="C14" t="s">
        <v>12</v>
      </c>
      <c r="E14" t="s">
        <v>50</v>
      </c>
      <c r="F14" t="s">
        <v>64</v>
      </c>
      <c r="H14" t="str">
        <f t="shared" si="0"/>
        <v>weight_lb</v>
      </c>
    </row>
    <row r="15" spans="1:8" x14ac:dyDescent="0.2">
      <c r="A15" t="s">
        <v>47</v>
      </c>
      <c r="B15" t="s">
        <v>61</v>
      </c>
      <c r="C15" t="s">
        <v>13</v>
      </c>
      <c r="E15" t="s">
        <v>51</v>
      </c>
      <c r="F15" t="s">
        <v>65</v>
      </c>
      <c r="H15" t="str">
        <f t="shared" si="0"/>
        <v>over_weight</v>
      </c>
    </row>
    <row r="16" spans="1:8" x14ac:dyDescent="0.2">
      <c r="A16" t="s">
        <v>48</v>
      </c>
      <c r="B16" t="s">
        <v>62</v>
      </c>
      <c r="C16" t="s">
        <v>14</v>
      </c>
      <c r="E16" t="s">
        <v>52</v>
      </c>
      <c r="F16" t="s">
        <v>66</v>
      </c>
      <c r="H16" t="str">
        <f t="shared" si="0"/>
        <v>out_handicap</v>
      </c>
    </row>
    <row r="17" spans="1:8" x14ac:dyDescent="0.2">
      <c r="A17" t="s">
        <v>49</v>
      </c>
      <c r="B17" t="s">
        <v>63</v>
      </c>
      <c r="C17" t="s">
        <v>15</v>
      </c>
      <c r="E17" t="s">
        <v>53</v>
      </c>
      <c r="F17" t="s">
        <v>67</v>
      </c>
      <c r="H17" t="str">
        <f t="shared" si="0"/>
        <v>headgear</v>
      </c>
    </row>
    <row r="18" spans="1:8" x14ac:dyDescent="0.2">
      <c r="A18" t="s">
        <v>54</v>
      </c>
      <c r="B18" t="s">
        <v>68</v>
      </c>
      <c r="C18" t="s">
        <v>16</v>
      </c>
      <c r="E18" t="s">
        <v>54</v>
      </c>
      <c r="F18" t="s">
        <v>68</v>
      </c>
      <c r="H18" t="str">
        <f t="shared" si="0"/>
        <v>rpr_rating</v>
      </c>
    </row>
    <row r="19" spans="1:8" x14ac:dyDescent="0.2">
      <c r="A19" t="s">
        <v>55</v>
      </c>
      <c r="B19" t="s">
        <v>69</v>
      </c>
      <c r="C19" t="s">
        <v>17</v>
      </c>
      <c r="E19" t="s">
        <v>55</v>
      </c>
      <c r="F19" t="s">
        <v>69</v>
      </c>
      <c r="H19" t="str">
        <f t="shared" si="0"/>
        <v>tr_rating</v>
      </c>
    </row>
    <row r="20" spans="1:8" x14ac:dyDescent="0.2">
      <c r="A20" t="s">
        <v>56</v>
      </c>
      <c r="B20" t="s">
        <v>70</v>
      </c>
      <c r="C20" t="s">
        <v>18</v>
      </c>
      <c r="E20" t="s">
        <v>56</v>
      </c>
      <c r="F20" t="s">
        <v>70</v>
      </c>
      <c r="H20" t="str">
        <f t="shared" si="0"/>
        <v>or_rating</v>
      </c>
    </row>
    <row r="21" spans="1:8" x14ac:dyDescent="0.2">
      <c r="A21" t="s">
        <v>75</v>
      </c>
      <c r="B21" t="s">
        <v>75</v>
      </c>
      <c r="C21" t="s">
        <v>19</v>
      </c>
      <c r="H21" t="str">
        <f t="shared" si="0"/>
        <v>father</v>
      </c>
    </row>
    <row r="22" spans="1:8" x14ac:dyDescent="0.2">
      <c r="A22" t="s">
        <v>76</v>
      </c>
      <c r="B22" t="s">
        <v>76</v>
      </c>
      <c r="C22" t="s">
        <v>20</v>
      </c>
      <c r="H22" t="str">
        <f t="shared" si="0"/>
        <v>mother</v>
      </c>
    </row>
    <row r="23" spans="1:8" x14ac:dyDescent="0.2">
      <c r="A23" t="s">
        <v>77</v>
      </c>
      <c r="B23" t="s">
        <v>77</v>
      </c>
      <c r="C23" t="s">
        <v>21</v>
      </c>
      <c r="H23" t="str">
        <f t="shared" si="0"/>
        <v>gfather</v>
      </c>
    </row>
    <row r="24" spans="1:8" x14ac:dyDescent="0.2">
      <c r="A24" t="s">
        <v>50</v>
      </c>
      <c r="B24" t="s">
        <v>64</v>
      </c>
      <c r="C24" t="s">
        <v>22</v>
      </c>
      <c r="H24" t="str">
        <f t="shared" si="0"/>
        <v>race_runners</v>
      </c>
    </row>
    <row r="25" spans="1:8" x14ac:dyDescent="0.2">
      <c r="A25" t="s">
        <v>78</v>
      </c>
      <c r="B25" t="s">
        <v>78</v>
      </c>
      <c r="C25" t="s">
        <v>23</v>
      </c>
      <c r="H25" t="str">
        <f t="shared" si="0"/>
        <v>margin</v>
      </c>
    </row>
    <row r="26" spans="1:8" x14ac:dyDescent="0.2">
      <c r="A26" t="s">
        <v>51</v>
      </c>
      <c r="B26" t="s">
        <v>65</v>
      </c>
      <c r="C26" t="s">
        <v>24</v>
      </c>
      <c r="H26" t="str">
        <f t="shared" si="0"/>
        <v>official_weight</v>
      </c>
    </row>
    <row r="27" spans="1:8" x14ac:dyDescent="0.2">
      <c r="A27" t="s">
        <v>52</v>
      </c>
      <c r="B27" t="s">
        <v>66</v>
      </c>
      <c r="C27" t="s">
        <v>25</v>
      </c>
      <c r="H27" t="str">
        <f t="shared" si="0"/>
        <v>result_win</v>
      </c>
    </row>
    <row r="28" spans="1:8" x14ac:dyDescent="0.2">
      <c r="A28" t="s">
        <v>53</v>
      </c>
      <c r="B28" t="s">
        <v>67</v>
      </c>
      <c r="C28" t="s">
        <v>26</v>
      </c>
      <c r="H28" t="str">
        <f t="shared" si="0"/>
        <v>result_place</v>
      </c>
    </row>
    <row r="29" spans="1:8" x14ac:dyDescent="0.2">
      <c r="C29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4C94-116C-8F4D-B9D9-8F9A2ABDBB9D}">
  <dimension ref="A1:G29"/>
  <sheetViews>
    <sheetView workbookViewId="0">
      <selection sqref="A1:XFD1"/>
    </sheetView>
  </sheetViews>
  <sheetFormatPr baseColWidth="10" defaultRowHeight="16" x14ac:dyDescent="0.2"/>
  <cols>
    <col min="1" max="1" width="11.6640625" bestFit="1" customWidth="1"/>
    <col min="2" max="2" width="14.83203125" bestFit="1" customWidth="1"/>
    <col min="3" max="3" width="75.5" bestFit="1" customWidth="1"/>
  </cols>
  <sheetData>
    <row r="1" spans="1:7" s="2" customFormat="1" x14ac:dyDescent="0.2">
      <c r="A1" s="2" t="s">
        <v>28</v>
      </c>
      <c r="B1" s="2" t="s">
        <v>29</v>
      </c>
      <c r="C1" s="2" t="s">
        <v>30</v>
      </c>
    </row>
    <row r="2" spans="1:7" x14ac:dyDescent="0.2">
      <c r="A2" t="s">
        <v>38</v>
      </c>
      <c r="B2" t="s">
        <v>33</v>
      </c>
      <c r="C2" t="s">
        <v>0</v>
      </c>
      <c r="D2" t="s">
        <v>38</v>
      </c>
      <c r="E2" t="s">
        <v>33</v>
      </c>
      <c r="G2" t="str">
        <f>_xlfn.XLOOKUP(A2, D:D, E:E, A2)</f>
        <v>race_id</v>
      </c>
    </row>
    <row r="3" spans="1:7" x14ac:dyDescent="0.2">
      <c r="A3" t="s">
        <v>79</v>
      </c>
      <c r="B3" t="s">
        <v>79</v>
      </c>
      <c r="C3" t="s">
        <v>80</v>
      </c>
      <c r="D3" t="s">
        <v>79</v>
      </c>
      <c r="E3" t="s">
        <v>79</v>
      </c>
      <c r="G3" t="str">
        <f t="shared" ref="G3:G28" si="0">_xlfn.XLOOKUP(A3, D:D, E:E, A3)</f>
        <v>course</v>
      </c>
    </row>
    <row r="4" spans="1:7" x14ac:dyDescent="0.2">
      <c r="A4" t="s">
        <v>81</v>
      </c>
      <c r="B4" t="s">
        <v>113</v>
      </c>
      <c r="C4" t="s">
        <v>82</v>
      </c>
      <c r="D4" t="s">
        <v>81</v>
      </c>
      <c r="E4" t="s">
        <v>113</v>
      </c>
      <c r="G4" t="str">
        <f t="shared" si="0"/>
        <v>race_time</v>
      </c>
    </row>
    <row r="5" spans="1:7" x14ac:dyDescent="0.2">
      <c r="A5" t="s">
        <v>83</v>
      </c>
      <c r="B5" t="s">
        <v>114</v>
      </c>
      <c r="C5" t="s">
        <v>84</v>
      </c>
      <c r="D5" t="s">
        <v>83</v>
      </c>
      <c r="E5" t="s">
        <v>114</v>
      </c>
      <c r="G5" t="str">
        <f t="shared" si="0"/>
        <v>race_date</v>
      </c>
    </row>
    <row r="6" spans="1:7" x14ac:dyDescent="0.2">
      <c r="A6" t="s">
        <v>85</v>
      </c>
      <c r="B6" t="s">
        <v>85</v>
      </c>
      <c r="C6" t="s">
        <v>86</v>
      </c>
      <c r="D6" t="s">
        <v>93</v>
      </c>
      <c r="E6" t="s">
        <v>115</v>
      </c>
      <c r="G6" t="str">
        <f t="shared" si="0"/>
        <v>title</v>
      </c>
    </row>
    <row r="7" spans="1:7" x14ac:dyDescent="0.2">
      <c r="A7" t="s">
        <v>87</v>
      </c>
      <c r="B7" t="s">
        <v>87</v>
      </c>
      <c r="C7" t="s">
        <v>88</v>
      </c>
      <c r="D7" t="s">
        <v>95</v>
      </c>
      <c r="E7" t="s">
        <v>116</v>
      </c>
      <c r="G7" t="str">
        <f t="shared" si="0"/>
        <v>rclass</v>
      </c>
    </row>
    <row r="8" spans="1:7" x14ac:dyDescent="0.2">
      <c r="A8" t="s">
        <v>89</v>
      </c>
      <c r="B8" t="s">
        <v>89</v>
      </c>
      <c r="C8" t="s">
        <v>90</v>
      </c>
      <c r="D8" t="s">
        <v>99</v>
      </c>
      <c r="E8" t="s">
        <v>117</v>
      </c>
      <c r="G8" t="str">
        <f t="shared" si="0"/>
        <v>band</v>
      </c>
    </row>
    <row r="9" spans="1:7" x14ac:dyDescent="0.2">
      <c r="A9" t="s">
        <v>91</v>
      </c>
      <c r="B9" t="s">
        <v>91</v>
      </c>
      <c r="C9" t="s">
        <v>92</v>
      </c>
      <c r="D9" t="s">
        <v>101</v>
      </c>
      <c r="E9" t="s">
        <v>118</v>
      </c>
      <c r="G9" t="str">
        <f t="shared" si="0"/>
        <v>ages</v>
      </c>
    </row>
    <row r="10" spans="1:7" x14ac:dyDescent="0.2">
      <c r="A10" t="s">
        <v>93</v>
      </c>
      <c r="B10" t="s">
        <v>115</v>
      </c>
      <c r="C10" t="s">
        <v>94</v>
      </c>
      <c r="D10" t="s">
        <v>103</v>
      </c>
      <c r="E10" t="s">
        <v>119</v>
      </c>
      <c r="G10" t="str">
        <f t="shared" si="0"/>
        <v>race_distance</v>
      </c>
    </row>
    <row r="11" spans="1:7" x14ac:dyDescent="0.2">
      <c r="A11" t="s">
        <v>95</v>
      </c>
      <c r="B11" t="s">
        <v>116</v>
      </c>
      <c r="C11" t="s">
        <v>96</v>
      </c>
      <c r="D11" t="s">
        <v>107</v>
      </c>
      <c r="E11" t="s">
        <v>120</v>
      </c>
      <c r="G11" t="str">
        <f t="shared" si="0"/>
        <v>going</v>
      </c>
    </row>
    <row r="12" spans="1:7" x14ac:dyDescent="0.2">
      <c r="A12" t="s">
        <v>97</v>
      </c>
      <c r="B12" t="s">
        <v>97</v>
      </c>
      <c r="C12" t="s">
        <v>98</v>
      </c>
      <c r="D12" t="s">
        <v>111</v>
      </c>
      <c r="E12" t="s">
        <v>121</v>
      </c>
      <c r="G12" t="str">
        <f t="shared" si="0"/>
        <v>hurdles</v>
      </c>
    </row>
    <row r="13" spans="1:7" x14ac:dyDescent="0.2">
      <c r="A13" t="s">
        <v>99</v>
      </c>
      <c r="B13" t="s">
        <v>117</v>
      </c>
      <c r="C13" t="s">
        <v>100</v>
      </c>
      <c r="G13" t="str">
        <f t="shared" si="0"/>
        <v>prize_breakdown</v>
      </c>
    </row>
    <row r="14" spans="1:7" x14ac:dyDescent="0.2">
      <c r="A14" t="s">
        <v>101</v>
      </c>
      <c r="B14" t="s">
        <v>118</v>
      </c>
      <c r="C14" t="s">
        <v>102</v>
      </c>
      <c r="G14" t="str">
        <f t="shared" si="0"/>
        <v>winning_time</v>
      </c>
    </row>
    <row r="15" spans="1:7" x14ac:dyDescent="0.2">
      <c r="A15" t="s">
        <v>103</v>
      </c>
      <c r="B15" t="s">
        <v>119</v>
      </c>
      <c r="C15" t="s">
        <v>104</v>
      </c>
      <c r="G15" t="str">
        <f t="shared" si="0"/>
        <v>prize_total</v>
      </c>
    </row>
    <row r="16" spans="1:7" x14ac:dyDescent="0.2">
      <c r="A16" t="s">
        <v>105</v>
      </c>
      <c r="B16" t="s">
        <v>105</v>
      </c>
      <c r="C16" t="s">
        <v>106</v>
      </c>
      <c r="G16" t="str">
        <f t="shared" si="0"/>
        <v>metric</v>
      </c>
    </row>
    <row r="17" spans="1:7" x14ac:dyDescent="0.2">
      <c r="A17" t="s">
        <v>107</v>
      </c>
      <c r="B17" t="s">
        <v>120</v>
      </c>
      <c r="C17" t="s">
        <v>108</v>
      </c>
      <c r="G17" t="str">
        <f t="shared" si="0"/>
        <v>country_code</v>
      </c>
    </row>
    <row r="18" spans="1:7" x14ac:dyDescent="0.2">
      <c r="A18" t="s">
        <v>109</v>
      </c>
      <c r="B18" t="s">
        <v>109</v>
      </c>
      <c r="C18" t="s">
        <v>110</v>
      </c>
      <c r="G18" t="str">
        <f t="shared" si="0"/>
        <v>ncond</v>
      </c>
    </row>
    <row r="19" spans="1:7" x14ac:dyDescent="0.2">
      <c r="A19" t="s">
        <v>111</v>
      </c>
      <c r="B19" t="s">
        <v>121</v>
      </c>
      <c r="C19" t="s">
        <v>112</v>
      </c>
      <c r="G19" t="str">
        <f t="shared" si="0"/>
        <v>race_class</v>
      </c>
    </row>
    <row r="29" spans="1:7" x14ac:dyDescent="0.2">
      <c r="C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horses</vt:lpstr>
      <vt:lpstr>races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Dollison</dc:creator>
  <cp:lastModifiedBy>Joshua Dollison</cp:lastModifiedBy>
  <dcterms:created xsi:type="dcterms:W3CDTF">2025-11-08T15:06:00Z</dcterms:created>
  <dcterms:modified xsi:type="dcterms:W3CDTF">2025-11-09T23:42:47Z</dcterms:modified>
</cp:coreProperties>
</file>